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C:\Users\Joel\Desktop\"/>
    </mc:Choice>
  </mc:AlternateContent>
  <workbookProtection lockStructure="1"/>
  <bookViews>
    <workbookView xWindow="240" yWindow="108" windowWidth="14808" windowHeight="8016" activeTab="1"/>
  </bookViews>
  <sheets>
    <sheet name="MainPage" sheetId="1" r:id="rId1"/>
    <sheet name="Backdoor" sheetId="2" r:id="rId2"/>
  </sheets>
  <calcPr calcId="15251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3" i="2"/>
  <c r="B2" i="2" l="1"/>
  <c r="L6" i="2"/>
  <c r="L3" i="2" s="1"/>
  <c r="H15" i="2"/>
  <c r="H12" i="2"/>
  <c r="H13" i="2"/>
  <c r="H11" i="2"/>
  <c r="H10" i="2"/>
  <c r="H8" i="2"/>
  <c r="L4" i="2" l="1"/>
  <c r="L8" i="2"/>
  <c r="L15" i="2"/>
  <c r="L13" i="2"/>
  <c r="L12" i="2"/>
  <c r="L11" i="2"/>
  <c r="L10" i="2"/>
  <c r="H4" i="2" l="1"/>
  <c r="H3" i="2"/>
  <c r="E39" i="2" l="1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38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20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2" i="2"/>
  <c r="K5" i="2" l="1"/>
  <c r="M5" i="2"/>
  <c r="K12" i="2"/>
  <c r="M12" i="2"/>
  <c r="G12" i="2"/>
  <c r="K3" i="2"/>
  <c r="M3" i="2"/>
  <c r="K4" i="2"/>
  <c r="M4" i="2"/>
  <c r="G11" i="2"/>
  <c r="K11" i="2"/>
  <c r="M11" i="2"/>
  <c r="G10" i="2"/>
  <c r="K10" i="2"/>
  <c r="M10" i="2"/>
  <c r="K16" i="2"/>
  <c r="G16" i="2"/>
  <c r="M16" i="2"/>
  <c r="K8" i="2"/>
  <c r="G8" i="2"/>
  <c r="M8" i="2"/>
  <c r="G13" i="2"/>
  <c r="K13" i="2"/>
  <c r="M13" i="2"/>
  <c r="K15" i="2"/>
  <c r="F15" i="2"/>
  <c r="G15" i="2"/>
  <c r="M15" i="2"/>
  <c r="K7" i="2"/>
  <c r="M7" i="2"/>
  <c r="G9" i="2"/>
  <c r="K9" i="2"/>
  <c r="M9" i="2"/>
  <c r="M14" i="2"/>
  <c r="G14" i="2"/>
  <c r="K14" i="2"/>
  <c r="K6" i="2"/>
  <c r="M6" i="2"/>
  <c r="G52" i="2"/>
  <c r="G51" i="2"/>
  <c r="H48" i="2"/>
  <c r="G48" i="2"/>
  <c r="F48" i="2"/>
  <c r="F44" i="2"/>
  <c r="G43" i="2"/>
  <c r="F43" i="2"/>
  <c r="H42" i="2"/>
  <c r="G42" i="2"/>
  <c r="G41" i="2"/>
  <c r="H40" i="2"/>
  <c r="G40" i="2" s="1"/>
  <c r="F40" i="2"/>
  <c r="H39" i="2"/>
  <c r="G39" i="2"/>
  <c r="G34" i="2"/>
  <c r="G33" i="2"/>
  <c r="H30" i="2"/>
  <c r="F30" i="2" s="1"/>
  <c r="G26" i="2"/>
  <c r="F26" i="2"/>
  <c r="G25" i="2"/>
  <c r="F25" i="2"/>
  <c r="H24" i="2"/>
  <c r="G24" i="2"/>
  <c r="F24" i="2"/>
  <c r="G23" i="2"/>
  <c r="H22" i="2"/>
  <c r="G22" i="2" s="1"/>
  <c r="H21" i="2"/>
  <c r="G21" i="2" s="1"/>
  <c r="F21" i="2"/>
  <c r="F8" i="2"/>
  <c r="F7" i="2"/>
  <c r="F6" i="2"/>
  <c r="F5" i="2"/>
  <c r="M2" i="2" l="1"/>
  <c r="L2" i="2" s="1"/>
  <c r="F9" i="2"/>
  <c r="F10" i="2"/>
  <c r="F41" i="2"/>
  <c r="F52" i="2"/>
  <c r="F42" i="2"/>
  <c r="G44" i="2"/>
  <c r="F39" i="2"/>
  <c r="F51" i="2"/>
  <c r="F23" i="2"/>
  <c r="G30" i="2"/>
  <c r="F22" i="2"/>
  <c r="F33" i="2"/>
  <c r="F34" i="2"/>
  <c r="F14" i="2"/>
  <c r="G6" i="2"/>
  <c r="F11" i="2"/>
  <c r="F16" i="2"/>
  <c r="F13" i="2" l="1"/>
  <c r="F12" i="2"/>
  <c r="G3" i="2"/>
  <c r="F3" i="2"/>
  <c r="G4" i="2"/>
  <c r="F4" i="2"/>
  <c r="H46" i="2"/>
  <c r="F46" i="2" s="1"/>
  <c r="H49" i="2"/>
  <c r="G49" i="2" s="1"/>
  <c r="H27" i="2"/>
  <c r="H28" i="2"/>
  <c r="G28" i="2" s="1"/>
  <c r="G2" i="2" l="1"/>
  <c r="F2" i="2" s="1"/>
  <c r="G27" i="2"/>
  <c r="F27" i="2"/>
  <c r="G46" i="2"/>
  <c r="F28" i="2"/>
  <c r="F49" i="2"/>
  <c r="H45" i="2"/>
  <c r="H31" i="2"/>
  <c r="H47" i="2"/>
  <c r="H50" i="2"/>
  <c r="H32" i="2"/>
  <c r="H29" i="2"/>
  <c r="F45" i="2" l="1"/>
  <c r="G45" i="2"/>
  <c r="G29" i="2"/>
  <c r="F29" i="2"/>
  <c r="F47" i="2"/>
  <c r="G47" i="2"/>
  <c r="G32" i="2"/>
  <c r="F32" i="2"/>
  <c r="F31" i="2"/>
  <c r="G31" i="2"/>
  <c r="F50" i="2"/>
  <c r="G50" i="2"/>
  <c r="G20" i="2" l="1"/>
  <c r="F20" i="2" s="1"/>
  <c r="G38" i="2"/>
  <c r="F38" i="2" s="1"/>
</calcChain>
</file>

<file path=xl/sharedStrings.xml><?xml version="1.0" encoding="utf-8"?>
<sst xmlns="http://schemas.openxmlformats.org/spreadsheetml/2006/main" count="178" uniqueCount="56">
  <si>
    <t>Hero Souls</t>
  </si>
  <si>
    <t>Argaiv</t>
  </si>
  <si>
    <t>Bhaal</t>
  </si>
  <si>
    <t>Chronos</t>
  </si>
  <si>
    <t>Fragsworth</t>
  </si>
  <si>
    <t>Iris</t>
  </si>
  <si>
    <t>Juggernaut</t>
  </si>
  <si>
    <t>Libertas</t>
  </si>
  <si>
    <t>Mammon</t>
  </si>
  <si>
    <t>Mimzee</t>
  </si>
  <si>
    <t>Morgulis</t>
  </si>
  <si>
    <t>Pluto</t>
  </si>
  <si>
    <t>Siyalatas</t>
  </si>
  <si>
    <t>Solomon</t>
  </si>
  <si>
    <t>Thusia</t>
  </si>
  <si>
    <t>Ancients</t>
  </si>
  <si>
    <t>Current</t>
  </si>
  <si>
    <t>Target</t>
  </si>
  <si>
    <t>Quantity</t>
  </si>
  <si>
    <t xml:space="preserve">  </t>
  </si>
  <si>
    <t>HS</t>
  </si>
  <si>
    <t>SAVE UPLOAD</t>
  </si>
  <si>
    <t>n</t>
  </si>
  <si>
    <t>n^{1.5}</t>
  </si>
  <si>
    <t>Input</t>
  </si>
  <si>
    <t>Increase</t>
  </si>
  <si>
    <t>HS cost</t>
  </si>
  <si>
    <t>Optimal</t>
  </si>
  <si>
    <t>Active</t>
  </si>
  <si>
    <t>Hybrid</t>
  </si>
  <si>
    <t>Idle</t>
  </si>
  <si>
    <t>HSC Func</t>
  </si>
  <si>
    <t>Active Import</t>
  </si>
  <si>
    <t>Whelp</t>
  </si>
  <si>
    <t>Remnant</t>
  </si>
  <si>
    <t>-</t>
  </si>
  <si>
    <t>How to:</t>
  </si>
  <si>
    <t xml:space="preserve">**Ancients**: Morgulis (5.549E6); Fragsworth (2,428); Argaiv (2,343); Bhaal (2,253); Mammon (2,171); Mimzee (2,171); Pluto (2,171); Solomon (1,858); Iris (1,259); Juggernaut (496); Chronos (55); Libertas (1); Siyalatas (1); Thusia (1);  </t>
  </si>
  <si>
    <t xml:space="preserve">**Max**: Khrysos, Dogcog, Fortuna, Atman, Dora, Bubos, Vaagur, Kumawakamaru, Chawedo, Hecatoncheir, Berserker, Sniperino, Kleptos, Energon, Revolc;  </t>
  </si>
  <si>
    <t xml:space="preserve">**Gilded Heroes**: Sir George (1), Aphrodite (1), Terra (1), Phthalo (1), Cadmia (297);  </t>
  </si>
  <si>
    <t xml:space="preserve">**Misc**: HS (10.48E6; Spent on Ancients/Rerolls: 105.7E6/5,080; Total: 116.2E6) HZE: 3,040; Current Zone: 1,924; Ascensions: 221; Rubies: 587, Immortal Damage: 87.74E6; Forge Cores: 103.1E3; Total Relics Found: 421; Achievements: 75%;  </t>
  </si>
  <si>
    <t xml:space="preserve">**Time Since Start**: 35d, 50m, 10s, Time since ascension: 22m, 24s;  </t>
  </si>
  <si>
    <t xml:space="preserve">**Total Item Bonuses**: </t>
  </si>
  <si>
    <t>* +14% Primal Boss Chance</t>
  </si>
  <si>
    <t>* -5% Hero Cost</t>
  </si>
  <si>
    <t>* +105% Golden Clicks Gold</t>
  </si>
  <si>
    <t>* +22 Sec Lucky Strikes</t>
  </si>
  <si>
    <t>* +35% Primal Hero Souls</t>
  </si>
  <si>
    <t>* +50% Click Damage</t>
  </si>
  <si>
    <t>* +2 Sec Golden Clicks</t>
  </si>
  <si>
    <t>2. Make sure the option reddit display is checked!</t>
  </si>
  <si>
    <t>3. Paste the Output data in the yellow box!</t>
  </si>
  <si>
    <t>1. Open Clicker Lister!</t>
  </si>
  <si>
    <t>4. Press the  import save button, and enjoy!</t>
  </si>
  <si>
    <t>5. Btw feel free to add numbers manually on this sheet, all the formulas work on the backdoor ;)</t>
  </si>
  <si>
    <t>Clicker Lister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</si>
</sst>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3"/>
      <color rgb="FF000000"/>
      <name val="Calibri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Fill="1" applyBorder="1"/>
    <xf numFmtId="0" fontId="1" fillId="0" borderId="1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2" borderId="9" xfId="0" applyFont="1" applyFill="1" applyBorder="1"/>
    <xf numFmtId="0" fontId="2" fillId="2" borderId="10" xfId="0" applyFont="1" applyFill="1" applyBorder="1"/>
    <xf numFmtId="0" fontId="2" fillId="6" borderId="10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11" xfId="0" applyFont="1" applyFill="1" applyBorder="1" applyAlignment="1">
      <alignment wrapText="1"/>
    </xf>
    <xf numFmtId="0" fontId="2" fillId="5" borderId="10" xfId="0" applyFont="1" applyFill="1" applyBorder="1" applyAlignment="1">
      <alignment wrapText="1"/>
    </xf>
    <xf numFmtId="0" fontId="0" fillId="3" borderId="12" xfId="0" applyFont="1" applyFill="1" applyBorder="1" applyAlignment="1">
      <alignment horizontal="center" vertical="center" wrapText="1"/>
    </xf>
    <xf numFmtId="0" fontId="0" fillId="0" borderId="5" xfId="0" applyFill="1" applyBorder="1"/>
    <xf numFmtId="0" fontId="0" fillId="0" borderId="12" xfId="0" applyFont="1" applyBorder="1" applyAlignment="1">
      <alignment horizontal="center" vertical="center" wrapText="1"/>
    </xf>
    <xf numFmtId="0" fontId="0" fillId="0" borderId="8" xfId="0" applyFill="1" applyBorder="1"/>
    <xf numFmtId="0" fontId="0" fillId="0" borderId="0" xfId="0" applyBorder="1"/>
    <xf numFmtId="0" fontId="0" fillId="0" borderId="5" xfId="0" applyBorder="1"/>
    <xf numFmtId="0" fontId="0" fillId="3" borderId="13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7" xfId="0" applyFill="1" applyBorder="1"/>
    <xf numFmtId="0" fontId="0" fillId="0" borderId="7" xfId="0" applyBorder="1"/>
    <xf numFmtId="0" fontId="0" fillId="0" borderId="8" xfId="0" applyBorder="1"/>
    <xf numFmtId="0" fontId="2" fillId="0" borderId="10" xfId="0" applyFont="1" applyFill="1" applyBorder="1" applyAlignment="1">
      <alignment wrapText="1"/>
    </xf>
    <xf numFmtId="0" fontId="0" fillId="3" borderId="14" xfId="0" applyFont="1" applyFill="1" applyBorder="1" applyAlignment="1">
      <alignment horizontal="center" vertical="center" wrapText="1"/>
    </xf>
    <xf numFmtId="0" fontId="0" fillId="7" borderId="0" xfId="0" applyFill="1" applyBorder="1"/>
    <xf numFmtId="0" fontId="0" fillId="8" borderId="0" xfId="0" applyFill="1" applyBorder="1"/>
    <xf numFmtId="0" fontId="0" fillId="0" borderId="4" xfId="0" applyBorder="1"/>
    <xf numFmtId="0" fontId="0" fillId="0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0" xfId="0" applyFill="1" applyBorder="1" applyAlignment="1"/>
    <xf numFmtId="0" fontId="0" fillId="2" borderId="15" xfId="0" applyFill="1" applyBorder="1" applyAlignment="1">
      <alignment horizontal="center"/>
    </xf>
    <xf numFmtId="0" fontId="7" fillId="2" borderId="16" xfId="1" applyFont="1" applyFill="1" applyBorder="1" applyAlignment="1">
      <alignment horizontal="center"/>
    </xf>
    <xf numFmtId="0" fontId="0" fillId="2" borderId="0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/>
    </xf>
    <xf numFmtId="0" fontId="0" fillId="2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Hiperligação" xfId="1" builtinId="8"/>
    <cellStyle name="Normal" xfId="0" builtinId="0"/>
  </cellStyles>
  <dxfs count="11"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</xdr:row>
          <xdr:rowOff>68580</xdr:rowOff>
        </xdr:from>
        <xdr:to>
          <xdr:col>13</xdr:col>
          <xdr:colOff>594360</xdr:colOff>
          <xdr:row>5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PT" sz="1300" b="0" i="0" u="none" strike="noStrike" baseline="0">
                  <a:solidFill>
                    <a:srgbClr val="000000"/>
                  </a:solidFill>
                  <a:latin typeface="Calibri"/>
                </a:rPr>
                <a:t>Import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3</xdr:row>
          <xdr:rowOff>7620</xdr:rowOff>
        </xdr:from>
        <xdr:to>
          <xdr:col>8</xdr:col>
          <xdr:colOff>243840</xdr:colOff>
          <xdr:row>6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200" b="0" i="0" u="none" strike="noStrike" baseline="0">
                  <a:solidFill>
                    <a:srgbClr val="000000"/>
                  </a:solidFill>
                  <a:latin typeface="Calibri"/>
                </a:rPr>
                <a:t>Active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76200</xdr:rowOff>
        </xdr:from>
        <xdr:to>
          <xdr:col>6</xdr:col>
          <xdr:colOff>0</xdr:colOff>
          <xdr:row>20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7</xdr:row>
          <xdr:rowOff>7620</xdr:rowOff>
        </xdr:from>
        <xdr:to>
          <xdr:col>8</xdr:col>
          <xdr:colOff>243840</xdr:colOff>
          <xdr:row>10</xdr:row>
          <xdr:rowOff>15240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200" b="0" i="0" u="none" strike="noStrike" baseline="0">
                  <a:solidFill>
                    <a:srgbClr val="000000"/>
                  </a:solidFill>
                  <a:latin typeface="Calibri"/>
                </a:rPr>
                <a:t>Hybrid</a:t>
              </a:r>
            </a:p>
            <a:p>
              <a:pPr algn="ctr" rtl="0">
                <a:defRPr sz="1000"/>
              </a:pPr>
              <a:r>
                <a:rPr lang="pt-PT" sz="1200" b="0" i="0" u="none" strike="noStrike" baseline="0">
                  <a:solidFill>
                    <a:srgbClr val="000000"/>
                  </a:solidFill>
                  <a:latin typeface="Calibri"/>
                </a:rPr>
                <a:t>(soon)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373380</xdr:colOff>
          <xdr:row>11</xdr:row>
          <xdr:rowOff>38100</xdr:rowOff>
        </xdr:from>
        <xdr:to>
          <xdr:col>8</xdr:col>
          <xdr:colOff>251460</xdr:colOff>
          <xdr:row>14</xdr:row>
          <xdr:rowOff>45720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200" b="0" i="0" u="none" strike="noStrike" baseline="0">
                  <a:solidFill>
                    <a:srgbClr val="000000"/>
                  </a:solidFill>
                  <a:latin typeface="Calibri"/>
                </a:rPr>
                <a:t>Idle</a:t>
              </a:r>
            </a:p>
            <a:p>
              <a:pPr algn="ctr" rtl="0">
                <a:defRPr sz="1000"/>
              </a:pPr>
              <a:r>
                <a:rPr lang="pt-PT" sz="1200" b="0" i="0" u="none" strike="noStrike" baseline="0">
                  <a:solidFill>
                    <a:srgbClr val="000000"/>
                  </a:solidFill>
                  <a:latin typeface="Calibri"/>
                </a:rPr>
                <a:t>(soon)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a1" displayName="Tabela1" ref="C4:F19" headerRowDxfId="10" dataDxfId="8" totalsRowDxfId="7" headerRowBorderDxfId="9">
  <autoFilter ref="C4:F19">
    <filterColumn colId="0" hiddenButton="1"/>
    <filterColumn colId="1" hiddenButton="1"/>
    <filterColumn colId="2" hiddenButton="1"/>
    <filterColumn colId="3" hiddenButton="1"/>
  </autoFilter>
  <tableColumns count="4">
    <tableColumn id="1" name="Ancients" totalsRowLabel="Total" dataDxfId="6" totalsRowDxfId="5"/>
    <tableColumn id="2" name="Current" dataDxfId="4"/>
    <tableColumn id="3" name="Quantity" dataDxfId="3" totalsRowDxfId="2"/>
    <tableColumn id="4" name="Target" totalsRowFunction="count" dataDxfId="1" totalsRow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dobruj01.github.io/clicker-lister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B1:V28"/>
  <sheetViews>
    <sheetView workbookViewId="0">
      <selection activeCell="Q25" sqref="Q25"/>
    </sheetView>
  </sheetViews>
  <sheetFormatPr defaultRowHeight="14.4" x14ac:dyDescent="0.3"/>
  <cols>
    <col min="1" max="1" width="8.88671875" style="1"/>
    <col min="2" max="2" width="5.21875" style="1" customWidth="1"/>
    <col min="3" max="3" width="14.109375" style="1" customWidth="1"/>
    <col min="4" max="4" width="12.109375" style="1" customWidth="1"/>
    <col min="5" max="5" width="12.5546875" style="1" customWidth="1"/>
    <col min="6" max="6" width="17.88671875" style="1" customWidth="1"/>
    <col min="7" max="14" width="8.88671875" style="1"/>
    <col min="15" max="15" width="5.21875" style="1" customWidth="1"/>
    <col min="16" max="16" width="8.88671875" style="1"/>
    <col min="17" max="17" width="47.33203125" style="1" customWidth="1"/>
    <col min="18" max="16384" width="8.88671875" style="1"/>
  </cols>
  <sheetData>
    <row r="1" spans="2:22" ht="15" thickBot="1" x14ac:dyDescent="0.35">
      <c r="Q1" s="6"/>
      <c r="R1" s="6"/>
      <c r="S1" s="6"/>
      <c r="T1" s="6"/>
      <c r="U1" s="6"/>
      <c r="V1" s="6"/>
    </row>
    <row r="2" spans="2:22" x14ac:dyDescent="0.3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18"/>
      <c r="R2" s="6"/>
      <c r="S2" s="6"/>
      <c r="T2" s="6"/>
      <c r="U2" s="6"/>
      <c r="V2" s="6"/>
    </row>
    <row r="3" spans="2:22" ht="15" thickBot="1" x14ac:dyDescent="0.35">
      <c r="B3" s="5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7"/>
      <c r="Q3" s="19"/>
      <c r="R3" s="6"/>
      <c r="S3" s="6"/>
      <c r="T3" s="6"/>
      <c r="U3" s="6"/>
      <c r="V3" s="6"/>
    </row>
    <row r="4" spans="2:22" ht="19.95" customHeight="1" x14ac:dyDescent="0.3">
      <c r="B4" s="5"/>
      <c r="C4" s="12" t="s">
        <v>15</v>
      </c>
      <c r="D4" s="13" t="s">
        <v>16</v>
      </c>
      <c r="E4" s="13" t="s">
        <v>18</v>
      </c>
      <c r="F4" s="14" t="s">
        <v>17</v>
      </c>
      <c r="G4" s="6"/>
      <c r="H4" s="6"/>
      <c r="I4" s="6"/>
      <c r="J4" s="6"/>
      <c r="K4" s="6"/>
      <c r="L4" s="6"/>
      <c r="M4" s="6"/>
      <c r="N4" s="6"/>
      <c r="O4" s="7"/>
      <c r="Q4" s="20" t="s">
        <v>37</v>
      </c>
      <c r="R4" s="6"/>
      <c r="S4" s="6"/>
      <c r="T4" s="6"/>
      <c r="U4" s="6"/>
      <c r="V4" s="6"/>
    </row>
    <row r="5" spans="2:22" ht="19.95" customHeight="1" x14ac:dyDescent="0.3">
      <c r="B5" s="5"/>
      <c r="C5" s="15" t="s">
        <v>0</v>
      </c>
      <c r="D5" s="16">
        <v>26948</v>
      </c>
      <c r="E5" s="17"/>
      <c r="F5" s="17">
        <v>26948</v>
      </c>
      <c r="G5" s="6"/>
      <c r="H5" s="6"/>
      <c r="I5" s="6"/>
      <c r="J5" s="6"/>
      <c r="K5" s="6"/>
      <c r="L5" s="6"/>
      <c r="M5" s="6"/>
      <c r="N5" s="6"/>
      <c r="O5" s="7"/>
      <c r="Q5" s="21"/>
      <c r="R5" s="6"/>
      <c r="S5" s="6"/>
      <c r="T5" s="6"/>
      <c r="U5" s="6"/>
      <c r="V5" s="6"/>
    </row>
    <row r="6" spans="2:22" ht="19.95" customHeight="1" x14ac:dyDescent="0.3">
      <c r="B6" s="5"/>
      <c r="C6" s="15" t="s">
        <v>1</v>
      </c>
      <c r="D6" s="16">
        <v>2483</v>
      </c>
      <c r="E6" s="17" t="s">
        <v>35</v>
      </c>
      <c r="F6" s="17">
        <v>2483</v>
      </c>
      <c r="G6" s="6"/>
      <c r="H6" s="6"/>
      <c r="I6" s="6"/>
      <c r="J6" s="6"/>
      <c r="K6" s="6"/>
      <c r="L6" s="6"/>
      <c r="M6" s="6"/>
      <c r="N6" s="6"/>
      <c r="O6" s="7"/>
      <c r="Q6" s="23" t="s">
        <v>38</v>
      </c>
      <c r="R6" s="6"/>
      <c r="S6" s="6"/>
      <c r="T6" s="6"/>
      <c r="U6" s="6"/>
      <c r="V6" s="6"/>
    </row>
    <row r="7" spans="2:22" ht="19.95" customHeight="1" x14ac:dyDescent="0.3">
      <c r="B7" s="5"/>
      <c r="C7" s="15" t="s">
        <v>2</v>
      </c>
      <c r="D7" s="16">
        <v>2393</v>
      </c>
      <c r="E7" s="17" t="s">
        <v>35</v>
      </c>
      <c r="F7" s="17">
        <v>2393</v>
      </c>
      <c r="G7" s="6"/>
      <c r="H7" s="6"/>
      <c r="I7" s="6"/>
      <c r="J7" s="6"/>
      <c r="K7" s="49" t="s">
        <v>36</v>
      </c>
      <c r="L7" s="49"/>
      <c r="M7" s="49"/>
      <c r="N7" s="49"/>
      <c r="O7" s="7"/>
      <c r="Q7" s="21"/>
      <c r="R7" s="6"/>
      <c r="S7" s="6"/>
      <c r="T7" s="6"/>
      <c r="U7" s="6"/>
      <c r="V7" s="6"/>
    </row>
    <row r="8" spans="2:22" ht="19.95" customHeight="1" x14ac:dyDescent="0.3">
      <c r="B8" s="5"/>
      <c r="C8" s="15" t="s">
        <v>3</v>
      </c>
      <c r="D8" s="16"/>
      <c r="E8" s="17" t="s">
        <v>35</v>
      </c>
      <c r="F8" s="17"/>
      <c r="G8" s="6"/>
      <c r="H8" s="6"/>
      <c r="I8" s="6"/>
      <c r="J8" s="6"/>
      <c r="K8" s="51" t="s">
        <v>52</v>
      </c>
      <c r="L8" s="51"/>
      <c r="M8" s="51"/>
      <c r="N8" s="51"/>
      <c r="O8" s="7"/>
      <c r="Q8" s="23" t="s">
        <v>39</v>
      </c>
      <c r="R8" s="6"/>
      <c r="S8" s="6"/>
      <c r="T8" s="6"/>
      <c r="U8" s="6"/>
      <c r="V8" s="6"/>
    </row>
    <row r="9" spans="2:22" ht="19.95" customHeight="1" x14ac:dyDescent="0.3">
      <c r="B9" s="5"/>
      <c r="C9" s="15" t="s">
        <v>4</v>
      </c>
      <c r="D9" s="16">
        <v>2483</v>
      </c>
      <c r="E9" s="17" t="s">
        <v>35</v>
      </c>
      <c r="F9" s="17">
        <v>2483</v>
      </c>
      <c r="G9" s="6"/>
      <c r="H9" s="6"/>
      <c r="I9" s="6"/>
      <c r="J9" s="6"/>
      <c r="K9" s="51"/>
      <c r="L9" s="51"/>
      <c r="M9" s="51"/>
      <c r="N9" s="51"/>
      <c r="O9" s="7"/>
      <c r="Q9" s="21"/>
      <c r="R9" s="6"/>
      <c r="S9" s="6"/>
      <c r="T9" s="6"/>
      <c r="U9" s="6"/>
      <c r="V9" s="6"/>
    </row>
    <row r="10" spans="2:22" ht="19.95" customHeight="1" x14ac:dyDescent="0.3">
      <c r="B10" s="5"/>
      <c r="C10" s="15" t="s">
        <v>5</v>
      </c>
      <c r="D10" s="16"/>
      <c r="E10" s="17" t="s">
        <v>35</v>
      </c>
      <c r="F10" s="17"/>
      <c r="G10" s="6"/>
      <c r="H10" s="6"/>
      <c r="I10" s="6"/>
      <c r="J10" s="6"/>
      <c r="K10" s="51" t="s">
        <v>50</v>
      </c>
      <c r="L10" s="51"/>
      <c r="M10" s="51"/>
      <c r="N10" s="51"/>
      <c r="O10" s="7"/>
      <c r="Q10" s="23" t="s">
        <v>40</v>
      </c>
      <c r="R10" s="6"/>
      <c r="S10" s="6"/>
      <c r="T10" s="6"/>
      <c r="U10" s="6"/>
      <c r="V10" s="6"/>
    </row>
    <row r="11" spans="2:22" ht="19.95" customHeight="1" x14ac:dyDescent="0.3">
      <c r="B11" s="5"/>
      <c r="C11" s="15" t="s">
        <v>6</v>
      </c>
      <c r="D11" s="16">
        <v>520</v>
      </c>
      <c r="E11" s="17" t="s">
        <v>35</v>
      </c>
      <c r="F11" s="17">
        <v>520</v>
      </c>
      <c r="G11" s="6"/>
      <c r="H11" s="6"/>
      <c r="I11" s="6"/>
      <c r="J11" s="6"/>
      <c r="K11" s="51"/>
      <c r="L11" s="51"/>
      <c r="M11" s="51"/>
      <c r="N11" s="51"/>
      <c r="O11" s="7"/>
      <c r="Q11" s="35"/>
      <c r="R11" s="6"/>
      <c r="S11" s="6"/>
      <c r="T11" s="6"/>
      <c r="U11" s="6"/>
      <c r="V11" s="6"/>
    </row>
    <row r="12" spans="2:22" ht="19.95" customHeight="1" x14ac:dyDescent="0.3">
      <c r="B12" s="5"/>
      <c r="C12" s="15" t="s">
        <v>7</v>
      </c>
      <c r="D12" s="16"/>
      <c r="E12" s="17" t="s">
        <v>35</v>
      </c>
      <c r="F12" s="17"/>
      <c r="G12" s="6"/>
      <c r="H12" s="6"/>
      <c r="I12" s="6"/>
      <c r="J12" s="6"/>
      <c r="K12" s="52" t="s">
        <v>51</v>
      </c>
      <c r="L12" s="52"/>
      <c r="M12" s="52"/>
      <c r="N12" s="52"/>
      <c r="O12" s="7"/>
      <c r="Q12" s="23" t="s">
        <v>41</v>
      </c>
      <c r="R12" s="6"/>
      <c r="S12" s="6"/>
      <c r="T12" s="6"/>
      <c r="U12" s="6"/>
      <c r="V12" s="6"/>
    </row>
    <row r="13" spans="2:22" ht="19.95" customHeight="1" x14ac:dyDescent="0.3">
      <c r="B13" s="5"/>
      <c r="C13" s="15" t="s">
        <v>8</v>
      </c>
      <c r="D13" s="16">
        <v>2302</v>
      </c>
      <c r="E13" s="17" t="s">
        <v>35</v>
      </c>
      <c r="F13" s="17">
        <v>2302</v>
      </c>
      <c r="G13" s="6"/>
      <c r="H13" s="6"/>
      <c r="I13" s="6"/>
      <c r="J13" s="6"/>
      <c r="K13" s="52"/>
      <c r="L13" s="52"/>
      <c r="M13" s="52"/>
      <c r="N13" s="52"/>
      <c r="O13" s="7"/>
      <c r="Q13" s="21"/>
      <c r="R13" s="6"/>
      <c r="S13" s="6"/>
      <c r="T13" s="6"/>
      <c r="U13" s="6"/>
      <c r="V13" s="6"/>
    </row>
    <row r="14" spans="2:22" ht="19.95" customHeight="1" x14ac:dyDescent="0.3">
      <c r="B14" s="5"/>
      <c r="C14" s="15" t="s">
        <v>9</v>
      </c>
      <c r="D14" s="16">
        <v>2302</v>
      </c>
      <c r="E14" s="17" t="s">
        <v>35</v>
      </c>
      <c r="F14" s="17">
        <v>2302</v>
      </c>
      <c r="G14" s="6"/>
      <c r="H14" s="6"/>
      <c r="I14" s="6"/>
      <c r="J14" s="6"/>
      <c r="K14" s="52" t="s">
        <v>53</v>
      </c>
      <c r="L14" s="52"/>
      <c r="M14" s="52"/>
      <c r="N14" s="52"/>
      <c r="O14" s="7"/>
      <c r="Q14" s="21" t="s">
        <v>42</v>
      </c>
      <c r="R14" s="6"/>
      <c r="S14" s="6"/>
      <c r="T14" s="6"/>
      <c r="U14" s="6"/>
      <c r="V14" s="6"/>
    </row>
    <row r="15" spans="2:22" ht="19.95" customHeight="1" x14ac:dyDescent="0.3">
      <c r="B15" s="5"/>
      <c r="C15" s="15" t="s">
        <v>10</v>
      </c>
      <c r="D15" s="16">
        <v>6230016</v>
      </c>
      <c r="E15" s="17" t="s">
        <v>35</v>
      </c>
      <c r="F15" s="17">
        <v>6230016</v>
      </c>
      <c r="G15" s="6"/>
      <c r="H15" s="6"/>
      <c r="I15" s="6"/>
      <c r="J15" s="6"/>
      <c r="K15" s="52"/>
      <c r="L15" s="52"/>
      <c r="M15" s="52"/>
      <c r="N15" s="52"/>
      <c r="O15" s="7"/>
      <c r="Q15" s="21"/>
      <c r="R15" s="6"/>
      <c r="S15" s="6"/>
      <c r="T15" s="6"/>
      <c r="U15" s="6"/>
      <c r="V15" s="6"/>
    </row>
    <row r="16" spans="2:22" ht="19.95" customHeight="1" x14ac:dyDescent="0.3">
      <c r="B16" s="5"/>
      <c r="C16" s="15" t="s">
        <v>11</v>
      </c>
      <c r="D16" s="16">
        <v>2302</v>
      </c>
      <c r="E16" s="17" t="s">
        <v>35</v>
      </c>
      <c r="F16" s="17">
        <v>2302</v>
      </c>
      <c r="G16" s="6"/>
      <c r="H16" s="6"/>
      <c r="I16" s="6"/>
      <c r="J16" s="6"/>
      <c r="K16" s="53" t="s">
        <v>54</v>
      </c>
      <c r="L16" s="53"/>
      <c r="M16" s="53"/>
      <c r="N16" s="53"/>
      <c r="O16" s="7"/>
      <c r="Q16" s="21" t="s">
        <v>43</v>
      </c>
      <c r="R16" s="6"/>
      <c r="S16" s="6"/>
      <c r="T16" s="6"/>
      <c r="U16" s="6"/>
      <c r="V16" s="6"/>
    </row>
    <row r="17" spans="2:22" ht="19.95" customHeight="1" x14ac:dyDescent="0.3">
      <c r="B17" s="5"/>
      <c r="C17" s="15" t="s">
        <v>12</v>
      </c>
      <c r="D17" s="16"/>
      <c r="E17" s="17" t="s">
        <v>35</v>
      </c>
      <c r="F17" s="17"/>
      <c r="G17" s="6"/>
      <c r="H17" s="6"/>
      <c r="I17" s="6"/>
      <c r="J17" s="6"/>
      <c r="K17" s="53"/>
      <c r="L17" s="53"/>
      <c r="M17" s="53"/>
      <c r="N17" s="53"/>
      <c r="O17" s="7"/>
      <c r="Q17" s="21" t="s">
        <v>44</v>
      </c>
      <c r="R17" s="6"/>
      <c r="S17" s="6"/>
      <c r="T17" s="6"/>
      <c r="U17" s="6"/>
      <c r="V17" s="6"/>
    </row>
    <row r="18" spans="2:22" ht="19.95" customHeight="1" x14ac:dyDescent="0.3">
      <c r="B18" s="5"/>
      <c r="C18" s="15" t="s">
        <v>13</v>
      </c>
      <c r="D18" s="16">
        <v>1952</v>
      </c>
      <c r="E18" s="17" t="s">
        <v>35</v>
      </c>
      <c r="F18" s="17">
        <v>1952</v>
      </c>
      <c r="G18" s="6"/>
      <c r="H18" s="6"/>
      <c r="I18" s="6"/>
      <c r="J18" s="6"/>
      <c r="K18" s="48"/>
      <c r="L18" s="48"/>
      <c r="M18" s="48"/>
      <c r="N18" s="48"/>
      <c r="O18" s="7"/>
      <c r="Q18" s="21" t="s">
        <v>45</v>
      </c>
      <c r="R18" s="6"/>
      <c r="S18" s="6"/>
      <c r="T18" s="6"/>
      <c r="U18" s="6"/>
      <c r="V18" s="6"/>
    </row>
    <row r="19" spans="2:22" ht="19.95" customHeight="1" x14ac:dyDescent="0.3">
      <c r="B19" s="5"/>
      <c r="C19" s="15" t="s">
        <v>14</v>
      </c>
      <c r="D19" s="16"/>
      <c r="E19" s="17" t="s">
        <v>35</v>
      </c>
      <c r="F19" s="17"/>
      <c r="G19" s="6"/>
      <c r="H19" s="6"/>
      <c r="I19" s="6"/>
      <c r="J19" s="6"/>
      <c r="K19" s="48"/>
      <c r="L19" s="48"/>
      <c r="M19" s="48"/>
      <c r="N19" s="48"/>
      <c r="O19" s="7"/>
      <c r="Q19" s="21" t="s">
        <v>46</v>
      </c>
      <c r="R19" s="6"/>
      <c r="S19" s="6"/>
      <c r="T19" s="6"/>
      <c r="U19" s="6"/>
      <c r="V19" s="6"/>
    </row>
    <row r="20" spans="2:22" ht="16.2" thickBot="1" x14ac:dyDescent="0.35">
      <c r="B20" s="5"/>
      <c r="G20" s="6"/>
      <c r="H20" s="6"/>
      <c r="I20" s="6"/>
      <c r="J20" s="6"/>
      <c r="K20" s="50" t="s">
        <v>55</v>
      </c>
      <c r="L20" s="50"/>
      <c r="M20" s="50"/>
      <c r="N20" s="50"/>
      <c r="O20" s="7"/>
      <c r="Q20" s="21" t="s">
        <v>47</v>
      </c>
      <c r="R20" s="6"/>
      <c r="S20" s="6"/>
      <c r="T20" s="6"/>
      <c r="U20" s="6"/>
      <c r="V20" s="6"/>
    </row>
    <row r="21" spans="2:22" ht="15.6" thickTop="1" thickBot="1" x14ac:dyDescent="0.35">
      <c r="B21" s="8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10"/>
      <c r="Q21" s="22" t="s">
        <v>48</v>
      </c>
      <c r="R21" s="6"/>
      <c r="S21" s="6"/>
      <c r="T21" s="6"/>
      <c r="U21" s="6"/>
      <c r="V21" s="6"/>
    </row>
    <row r="22" spans="2:22" x14ac:dyDescent="0.3">
      <c r="C22" s="6"/>
      <c r="D22" s="6"/>
      <c r="E22" s="6"/>
      <c r="F22" s="6"/>
      <c r="Q22" s="1" t="s">
        <v>49</v>
      </c>
    </row>
    <row r="23" spans="2:22" x14ac:dyDescent="0.3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Q23" s="1" t="s">
        <v>19</v>
      </c>
    </row>
    <row r="24" spans="2:22" x14ac:dyDescent="0.3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</row>
    <row r="25" spans="2:22" x14ac:dyDescent="0.3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</row>
    <row r="26" spans="2:22" x14ac:dyDescent="0.3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</row>
    <row r="27" spans="2:22" x14ac:dyDescent="0.3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</row>
    <row r="28" spans="2:22" x14ac:dyDescent="0.3">
      <c r="B28" s="6"/>
      <c r="G28" s="6"/>
      <c r="H28" s="6"/>
      <c r="I28" s="6"/>
      <c r="J28" s="6"/>
      <c r="K28" s="6"/>
      <c r="L28" s="6"/>
      <c r="M28" s="6"/>
      <c r="N28" s="6"/>
      <c r="O28" s="6"/>
    </row>
  </sheetData>
  <mergeCells count="7">
    <mergeCell ref="K7:N7"/>
    <mergeCell ref="K20:N20"/>
    <mergeCell ref="K8:N9"/>
    <mergeCell ref="K10:N11"/>
    <mergeCell ref="K12:N13"/>
    <mergeCell ref="K14:N15"/>
    <mergeCell ref="K16:N17"/>
  </mergeCells>
  <hyperlinks>
    <hyperlink ref="K20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ImportSave">
                <anchor moveWithCells="1" sizeWithCells="1">
                  <from>
                    <xdr:col>10</xdr:col>
                    <xdr:colOff>7620</xdr:colOff>
                    <xdr:row>2</xdr:row>
                    <xdr:rowOff>68580</xdr:rowOff>
                  </from>
                  <to>
                    <xdr:col>13</xdr:col>
                    <xdr:colOff>594360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Active">
                <anchor moveWithCells="1" sizeWithCells="1">
                  <from>
                    <xdr:col>6</xdr:col>
                    <xdr:colOff>365760</xdr:colOff>
                    <xdr:row>3</xdr:row>
                    <xdr:rowOff>7620</xdr:rowOff>
                  </from>
                  <to>
                    <xdr:col>8</xdr:col>
                    <xdr:colOff>243840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AssumeValuesAbove">
                <anchor moveWithCells="1" sizeWithCells="1">
                  <from>
                    <xdr:col>5</xdr:col>
                    <xdr:colOff>0</xdr:colOff>
                    <xdr:row>19</xdr:row>
                    <xdr:rowOff>76200</xdr:rowOff>
                  </from>
                  <to>
                    <xdr:col>6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Hybrid">
                <anchor moveWithCells="1" sizeWithCells="1">
                  <from>
                    <xdr:col>6</xdr:col>
                    <xdr:colOff>365760</xdr:colOff>
                    <xdr:row>7</xdr:row>
                    <xdr:rowOff>7620</xdr:rowOff>
                  </from>
                  <to>
                    <xdr:col>8</xdr:col>
                    <xdr:colOff>243840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Idle">
                <anchor moveWithCells="1" sizeWithCells="1">
                  <from>
                    <xdr:col>6</xdr:col>
                    <xdr:colOff>373380</xdr:colOff>
                    <xdr:row>11</xdr:row>
                    <xdr:rowOff>38100</xdr:rowOff>
                  </from>
                  <to>
                    <xdr:col>8</xdr:col>
                    <xdr:colOff>251460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M53"/>
  <sheetViews>
    <sheetView tabSelected="1" workbookViewId="0">
      <selection activeCell="K2" sqref="K2:L16"/>
    </sheetView>
  </sheetViews>
  <sheetFormatPr defaultRowHeight="14.4" x14ac:dyDescent="0.3"/>
  <cols>
    <col min="1" max="1" width="13.44140625" customWidth="1"/>
    <col min="2" max="2" width="15.21875" customWidth="1"/>
    <col min="4" max="4" width="11.5546875" customWidth="1"/>
    <col min="12" max="12" width="9.6640625" bestFit="1" customWidth="1"/>
  </cols>
  <sheetData>
    <row r="1" spans="1:13" x14ac:dyDescent="0.3">
      <c r="A1" s="54" t="s">
        <v>21</v>
      </c>
      <c r="B1" s="55"/>
      <c r="C1" s="11"/>
      <c r="D1" s="54" t="s">
        <v>28</v>
      </c>
      <c r="E1" s="56"/>
      <c r="F1" s="56"/>
      <c r="G1" s="56"/>
      <c r="H1" s="56"/>
      <c r="I1" s="55"/>
      <c r="K1" s="57" t="s">
        <v>32</v>
      </c>
      <c r="L1" s="58"/>
      <c r="M1" s="47" t="s">
        <v>33</v>
      </c>
    </row>
    <row r="2" spans="1:13" x14ac:dyDescent="0.3">
      <c r="A2" s="24" t="s">
        <v>20</v>
      </c>
      <c r="B2" s="25" t="str">
        <f>IFERROR(LEFT(RIGHT(MainPage!Q10,LEN(MainPage!Q10)-LEN(RIGHT(MainPage!Q10,FIND(A2,MainPage!Q10)))-3),SEARCH(";",RIGHT(MainPage!Q10,LEN(MainPage!Q10)-LEN(RIGHT(MainPage!Q10,FIND(A2,MainPage!Q10)))-3))-1),0)</f>
        <v>10.48E6</v>
      </c>
      <c r="C2" s="11"/>
      <c r="D2" s="24" t="s">
        <v>20</v>
      </c>
      <c r="E2" s="28">
        <f>MainPage!D5</f>
        <v>26948</v>
      </c>
      <c r="F2" s="38">
        <f>E2-G2</f>
        <v>1.0177621184848249</v>
      </c>
      <c r="G2" s="28">
        <f>SUM(G3:G16)</f>
        <v>26946.982237881515</v>
      </c>
      <c r="H2" s="28"/>
      <c r="I2" s="29"/>
      <c r="K2" s="39"/>
      <c r="L2" s="29">
        <f>E2-M2</f>
        <v>26948</v>
      </c>
      <c r="M2" s="45">
        <f>SUM(M3:M16)</f>
        <v>0</v>
      </c>
    </row>
    <row r="3" spans="1:13" x14ac:dyDescent="0.3">
      <c r="A3" s="26" t="s">
        <v>1</v>
      </c>
      <c r="B3" s="25" t="str">
        <f>IFERROR(LEFT(RIGHT(MainPage!$Q$4,LEN(MainPage!$Q$4)-FIND(A3,MainPage!$Q$4)-LEN(A3)-1),FIND(")",RIGHT(MainPage!$Q$4,LEN(MainPage!$Q$4)-FIND(A3,MainPage!$Q$4)-LEN(A3)-1))-1),0)</f>
        <v>2,343</v>
      </c>
      <c r="C3" s="11"/>
      <c r="D3" s="26" t="s">
        <v>1</v>
      </c>
      <c r="E3" s="28">
        <f>MainPage!D6</f>
        <v>2483</v>
      </c>
      <c r="F3" s="28">
        <f>IF(H3-E3&gt;0,H3-E3,0)</f>
        <v>0.55210617762213587</v>
      </c>
      <c r="G3" s="28">
        <f>IF(((H3*(H3+1))/2)-((E3*(E3+1))/2)&gt;0,((H3*(H3+1))/2)-((E3*(E3+1))/2),0)</f>
        <v>1371.3081027404405</v>
      </c>
      <c r="H3" s="28">
        <f>H6</f>
        <v>2483.5521061776221</v>
      </c>
      <c r="I3" s="29" t="s">
        <v>22</v>
      </c>
      <c r="K3" s="39" t="str">
        <f>IF(L3-E3&gt;0,CONCATENATE("+",L3-E3),"-")</f>
        <v>-</v>
      </c>
      <c r="L3" s="28">
        <f>ROUND(L6,0)</f>
        <v>2483</v>
      </c>
      <c r="M3" s="45">
        <f>IF(((L3*(L3+1))/2)-((E3*(E3+1))/2)&gt;0,((L3*(L3+1))/2)-((E3*(E3+1))/2),0)</f>
        <v>0</v>
      </c>
    </row>
    <row r="4" spans="1:13" x14ac:dyDescent="0.3">
      <c r="A4" s="24" t="s">
        <v>2</v>
      </c>
      <c r="B4" s="25" t="str">
        <f>IFERROR(LEFT(RIGHT(MainPage!$Q$4,LEN(MainPage!$Q$4)-FIND(A4,MainPage!$Q$4)-LEN(A4)-1),FIND(")",RIGHT(MainPage!$Q$4,LEN(MainPage!$Q$4)-FIND(A4,MainPage!$Q$4)-LEN(A4)-1))-1),0)</f>
        <v>2,253</v>
      </c>
      <c r="C4" s="11"/>
      <c r="D4" s="24" t="s">
        <v>2</v>
      </c>
      <c r="E4" s="28">
        <f>MainPage!D7</f>
        <v>2393</v>
      </c>
      <c r="F4" s="28">
        <f t="shared" ref="F4:F10" si="0">IF(H4-E4&gt;0,H4-E4,0)</f>
        <v>0.55210617762213587</v>
      </c>
      <c r="G4" s="28">
        <f>IF(((H4*(H4+1))/2)-((E4*(E4+1))/2)&gt;0,((H4*(H4+1))/2)-((E4*(E4+1))/2),0)</f>
        <v>1321.6185467541218</v>
      </c>
      <c r="H4" s="28">
        <f>IF(H6&lt;1000,H6,H6-90)</f>
        <v>2393.5521061776221</v>
      </c>
      <c r="I4" s="29" t="s">
        <v>22</v>
      </c>
      <c r="K4" s="39" t="str">
        <f t="shared" ref="K4:K16" si="1">IF(L4-E4&gt;0,CONCATENATE("+",L4-E4),"-")</f>
        <v>-</v>
      </c>
      <c r="L4" s="28">
        <f>ROUND(IF(L6&lt;1000,L6,L6-90),0)</f>
        <v>2393</v>
      </c>
      <c r="M4" s="45">
        <f>IF(((L4*(L4+1))/2)-((E4*(E4+1))/2)&gt;0,((L4*(L4+1))/2)-((E4*(E4+1))/2),0)</f>
        <v>0</v>
      </c>
    </row>
    <row r="5" spans="1:13" x14ac:dyDescent="0.3">
      <c r="A5" s="26" t="s">
        <v>3</v>
      </c>
      <c r="B5" s="25" t="str">
        <f>IFERROR(LEFT(RIGHT(MainPage!$Q$4,LEN(MainPage!$Q$4)-FIND(A5,MainPage!$Q$4)-LEN(A5)-1),FIND(")",RIGHT(MainPage!$Q$4,LEN(MainPage!$Q$4)-FIND(A5,MainPage!$Q$4)-LEN(A5)-1))-1),0)</f>
        <v>55</v>
      </c>
      <c r="C5" s="11"/>
      <c r="D5" s="26" t="s">
        <v>3</v>
      </c>
      <c r="E5" s="28">
        <f>MainPage!D8</f>
        <v>0</v>
      </c>
      <c r="F5" s="28">
        <f t="shared" si="0"/>
        <v>0</v>
      </c>
      <c r="G5" s="28"/>
      <c r="H5" s="28"/>
      <c r="I5" s="29" t="s">
        <v>23</v>
      </c>
      <c r="K5" s="39" t="str">
        <f t="shared" si="1"/>
        <v>-</v>
      </c>
      <c r="L5" s="28"/>
      <c r="M5" s="45">
        <f>IF(ROUND(((L5^2.5)+(L5+1)^2.5)/5-((E5^2.5)+(E5+1)^2.5)/5,0)&gt;0,ROUND(((L5^2.5)+(L5+1)^2.5)/5-((E5^2.5)+(E5+1)^2.5)/5,0),0)</f>
        <v>0</v>
      </c>
    </row>
    <row r="6" spans="1:13" ht="16.2" customHeight="1" x14ac:dyDescent="0.3">
      <c r="A6" s="24" t="s">
        <v>4</v>
      </c>
      <c r="B6" s="25" t="str">
        <f>IFERROR(LEFT(RIGHT(MainPage!$Q$4,LEN(MainPage!$Q$4)-FIND(A6,MainPage!$Q$4)-LEN(A6)-1),FIND(")",RIGHT(MainPage!$Q$4,LEN(MainPage!$Q$4)-FIND(A6,MainPage!$Q$4)-LEN(A6)-1))-1),0)</f>
        <v>2,428</v>
      </c>
      <c r="C6" s="11"/>
      <c r="D6" s="24" t="s">
        <v>4</v>
      </c>
      <c r="E6" s="28">
        <f>MainPage!D9</f>
        <v>2483</v>
      </c>
      <c r="F6" s="28">
        <f t="shared" si="0"/>
        <v>0.55210617762213587</v>
      </c>
      <c r="G6" s="28">
        <f>IF(((H6*(H6+1))/2)-((E6*(E6+1))/2)&gt;0,((H6*(H6+1))/2)-((E6*(E6+1))/2),0)</f>
        <v>1371.3081027404405</v>
      </c>
      <c r="H6" s="38">
        <v>2483.5521061776221</v>
      </c>
      <c r="I6" s="29" t="s">
        <v>22</v>
      </c>
      <c r="K6" s="39" t="str">
        <f t="shared" si="1"/>
        <v>-</v>
      </c>
      <c r="L6" s="37">
        <f>FLOOR(H6,1)</f>
        <v>2483</v>
      </c>
      <c r="M6" s="45">
        <f>IF(((L6*(L6+1))/2)-((E6*(E6+1))/2)&gt;0,((L6*(L6+1))/2)-((E6*(E6+1))/2),0)</f>
        <v>0</v>
      </c>
    </row>
    <row r="7" spans="1:13" x14ac:dyDescent="0.3">
      <c r="A7" s="26" t="s">
        <v>5</v>
      </c>
      <c r="B7" s="25" t="str">
        <f>IFERROR(LEFT(RIGHT(MainPage!$Q$4,LEN(MainPage!$Q$4)-FIND(A7,MainPage!$Q$4)-LEN(A7)-1),FIND(")",RIGHT(MainPage!$Q$4,LEN(MainPage!$Q$4)-FIND(A7,MainPage!$Q$4)-LEN(A7)-1))-1),0)</f>
        <v>1,259</v>
      </c>
      <c r="C7" s="11"/>
      <c r="D7" s="26" t="s">
        <v>5</v>
      </c>
      <c r="E7" s="28">
        <f>MainPage!D10</f>
        <v>0</v>
      </c>
      <c r="F7" s="28">
        <f t="shared" si="0"/>
        <v>0</v>
      </c>
      <c r="G7" s="28"/>
      <c r="H7" s="28"/>
      <c r="I7" s="29" t="s">
        <v>23</v>
      </c>
      <c r="K7" s="39" t="str">
        <f t="shared" si="1"/>
        <v>-</v>
      </c>
      <c r="L7" s="28"/>
      <c r="M7" s="45">
        <f>IF(ROUND(((L7^2.5)+(L7+1)^2.5)/5-((E7^2.5)+(E7+1)^2.5)/5,0)&gt;0,ROUND(((L7^2.5)+(L7+1)^2.5)/5-((E7^2.5)+(E7+1)^2.5)/5,0),0)</f>
        <v>0</v>
      </c>
    </row>
    <row r="8" spans="1:13" ht="16.2" customHeight="1" x14ac:dyDescent="0.3">
      <c r="A8" s="24" t="s">
        <v>6</v>
      </c>
      <c r="B8" s="25" t="str">
        <f>IFERROR(LEFT(RIGHT(MainPage!$Q$4,LEN(MainPage!$Q$4)-FIND(A8,MainPage!$Q$4)-LEN(A8)-1),FIND(")",RIGHT(MainPage!$Q$4,LEN(MainPage!$Q$4)-FIND(A8,MainPage!$Q$4)-LEN(A8)-1))-1),0)</f>
        <v>496</v>
      </c>
      <c r="C8" s="11"/>
      <c r="D8" s="24" t="s">
        <v>6</v>
      </c>
      <c r="E8" s="28">
        <f>MainPage!D11</f>
        <v>520</v>
      </c>
      <c r="F8" s="28">
        <f t="shared" si="0"/>
        <v>6.6190146427061336E-2</v>
      </c>
      <c r="G8" s="28">
        <f>IF(ROUND(((H8^2.5)+(H8+1)^2.5)/5-((E8^2.5)+(E8+1)^2.5)/5,0)&gt;0,ROUND(((H8^2.5)+(H8+1)^2.5)/5-((E8^2.5)+(E8+1)^2.5)/5,0),0)</f>
        <v>786</v>
      </c>
      <c r="H8" s="28">
        <f>H6^0.8</f>
        <v>520.06619014642706</v>
      </c>
      <c r="I8" s="29" t="s">
        <v>23</v>
      </c>
      <c r="K8" s="39" t="str">
        <f t="shared" si="1"/>
        <v>-</v>
      </c>
      <c r="L8" s="28">
        <f>ROUND(L6^0.8,0)</f>
        <v>520</v>
      </c>
      <c r="M8" s="45">
        <f>IF(ROUND(((L8^2.5)+(L8+1)^2.5)/5-((E8^2.5)+(E8+1)^2.5)/5,0)&gt;0,ROUND(((L8^2.5)+(L8+1)^2.5)/5-((E8^2.5)+(E8+1)^2.5)/5,0),0)</f>
        <v>0</v>
      </c>
    </row>
    <row r="9" spans="1:13" x14ac:dyDescent="0.3">
      <c r="A9" s="26" t="s">
        <v>7</v>
      </c>
      <c r="B9" s="25" t="str">
        <f>IFERROR(LEFT(RIGHT(MainPage!$Q$4,LEN(MainPage!$Q$4)-FIND(A9,MainPage!$Q$4)-LEN(A9)-1),FIND(")",RIGHT(MainPage!$Q$4,LEN(MainPage!$Q$4)-FIND(A9,MainPage!$Q$4)-LEN(A9)-1))-1),0)</f>
        <v>1</v>
      </c>
      <c r="C9" s="11"/>
      <c r="D9" s="26" t="s">
        <v>7</v>
      </c>
      <c r="E9" s="28">
        <f>MainPage!D12</f>
        <v>0</v>
      </c>
      <c r="F9" s="28">
        <f t="shared" si="0"/>
        <v>0</v>
      </c>
      <c r="G9" s="28">
        <f>IF(((H9*(H9+1))/2)-((E9*(E9+1))/2)&gt;0,((H9*(H9+1))/2)-((E9*(E9+1))/2),0)</f>
        <v>0</v>
      </c>
      <c r="H9" s="28"/>
      <c r="I9" s="29" t="s">
        <v>22</v>
      </c>
      <c r="K9" s="39" t="str">
        <f t="shared" si="1"/>
        <v>-</v>
      </c>
      <c r="L9" s="28"/>
      <c r="M9" s="45">
        <f>IF(((L9*(L9+1))/2)-((E9*(E9+1))/2)&gt;0,((L9*(L9+1))/2)-((E9*(E9+1))/2),0)</f>
        <v>0</v>
      </c>
    </row>
    <row r="10" spans="1:13" x14ac:dyDescent="0.3">
      <c r="A10" s="24" t="s">
        <v>8</v>
      </c>
      <c r="B10" s="25" t="str">
        <f>IFERROR(LEFT(RIGHT(MainPage!$Q$4,LEN(MainPage!$Q$4)-FIND(A10,MainPage!$Q$4)-LEN(A10)-1),FIND(")",RIGHT(MainPage!$Q$4,LEN(MainPage!$Q$4)-FIND(A10,MainPage!$Q$4)-LEN(A10)-1))-1),0)</f>
        <v>2,171</v>
      </c>
      <c r="C10" s="11"/>
      <c r="D10" s="24" t="s">
        <v>8</v>
      </c>
      <c r="E10" s="28">
        <f>MainPage!D13</f>
        <v>2302</v>
      </c>
      <c r="F10" s="28">
        <f t="shared" si="0"/>
        <v>0.25280242665576225</v>
      </c>
      <c r="G10" s="28">
        <f>IF(((H10*(H10+1))/2)-((E10*(E10+1))/2)&gt;0,((H10*(H10+1))/2)-((E10*(E10+1))/2),0)</f>
        <v>582.10954190837219</v>
      </c>
      <c r="H10" s="28">
        <f>$H$6*0.927</f>
        <v>2302.2528024266558</v>
      </c>
      <c r="I10" s="29" t="s">
        <v>22</v>
      </c>
      <c r="K10" s="39" t="str">
        <f t="shared" si="1"/>
        <v>-</v>
      </c>
      <c r="L10" s="28">
        <f>ROUND(L6*0.927,0)</f>
        <v>2302</v>
      </c>
      <c r="M10" s="45">
        <f>IF(((L10*(L10+1))/2)-((E10*(E10+1))/2)&gt;0,((L10*(L10+1))/2)-((E10*(E10+1))/2),0)</f>
        <v>0</v>
      </c>
    </row>
    <row r="11" spans="1:13" x14ac:dyDescent="0.3">
      <c r="A11" s="26" t="s">
        <v>9</v>
      </c>
      <c r="B11" s="25" t="str">
        <f>IFERROR(LEFT(RIGHT(MainPage!$Q$4,LEN(MainPage!$Q$4)-FIND(A11,MainPage!$Q$4)-LEN(A11)-1),FIND(")",RIGHT(MainPage!$Q$4,LEN(MainPage!$Q$4)-FIND(A11,MainPage!$Q$4)-LEN(A11)-1))-1),0)</f>
        <v>2,171</v>
      </c>
      <c r="C11" s="11"/>
      <c r="D11" s="26" t="s">
        <v>9</v>
      </c>
      <c r="E11" s="28">
        <f>MainPage!D14</f>
        <v>2302</v>
      </c>
      <c r="F11" s="28">
        <f>IF(H11-E11&gt;0,H11-E11,0)</f>
        <v>0.25280242665576225</v>
      </c>
      <c r="G11" s="28">
        <f>IF(((H11*(H11+1))/2)-((E11*(E11+1))/2)&gt;0,((H11*(H11+1))/2)-((E11*(E11+1))/2),0)</f>
        <v>582.10954190837219</v>
      </c>
      <c r="H11" s="28">
        <f>$H$6*0.927</f>
        <v>2302.2528024266558</v>
      </c>
      <c r="I11" s="29" t="s">
        <v>22</v>
      </c>
      <c r="K11" s="39" t="str">
        <f t="shared" si="1"/>
        <v>-</v>
      </c>
      <c r="L11" s="28">
        <f>ROUND(L6*0.927,0)</f>
        <v>2302</v>
      </c>
      <c r="M11" s="45">
        <f>IF(((L11*(L11+1))/2)-((E11*(E11+1))/2)&gt;0,((L11*(L11+1))/2)-((E11*(E11+1))/2),0)</f>
        <v>0</v>
      </c>
    </row>
    <row r="12" spans="1:13" x14ac:dyDescent="0.3">
      <c r="A12" s="24" t="s">
        <v>10</v>
      </c>
      <c r="B12" s="25" t="str">
        <f>IFERROR(LEFT(RIGHT(MainPage!$Q$4,LEN(MainPage!$Q$4)-FIND(A12,MainPage!$Q$4)-LEN(A12)-1),FIND(")",RIGHT(MainPage!$Q$4,LEN(MainPage!$Q$4)-FIND(A12,MainPage!$Q$4)-LEN(A12)-1))-1),0)</f>
        <v>5.549E6</v>
      </c>
      <c r="C12" s="11"/>
      <c r="D12" s="24" t="s">
        <v>10</v>
      </c>
      <c r="E12" s="28">
        <f>MainPage!D15</f>
        <v>6230016</v>
      </c>
      <c r="F12" s="28">
        <f>IF(H12-E11&gt;0,H12-E11,0)</f>
        <v>6230470.4188599214</v>
      </c>
      <c r="G12" s="28">
        <f>IF(H12-E12&gt;0,H12-E12,0)</f>
        <v>2756.4188599213958</v>
      </c>
      <c r="H12" s="28">
        <f>IF(H6&lt;100,(H6+1)^2,(H6+13)^2)</f>
        <v>6232772.4188599214</v>
      </c>
      <c r="I12" s="29">
        <v>1</v>
      </c>
      <c r="K12" s="39" t="str">
        <f t="shared" si="1"/>
        <v>-</v>
      </c>
      <c r="L12" s="28">
        <f>ROUND(IF(L6&lt;100,(L6+1)^2,(L6+13)^2),0)</f>
        <v>6230016</v>
      </c>
      <c r="M12" s="45">
        <f>IF(L12-E12&gt;0,L12-E12,0)</f>
        <v>0</v>
      </c>
    </row>
    <row r="13" spans="1:13" x14ac:dyDescent="0.3">
      <c r="A13" s="26" t="s">
        <v>11</v>
      </c>
      <c r="B13" s="25" t="str">
        <f>IFERROR(LEFT(RIGHT(MainPage!$Q$4,LEN(MainPage!$Q$4)-FIND(A13,MainPage!$Q$4)-LEN(A13)-1),FIND(")",RIGHT(MainPage!$Q$4,LEN(MainPage!$Q$4)-FIND(A13,MainPage!$Q$4)-LEN(A13)-1))-1),0)</f>
        <v>2,171</v>
      </c>
      <c r="C13" s="11"/>
      <c r="D13" s="26" t="s">
        <v>11</v>
      </c>
      <c r="E13" s="28">
        <f>MainPage!D16</f>
        <v>2302</v>
      </c>
      <c r="F13" s="28">
        <f>IF(H13-E13&gt;0,H13-E13,0)</f>
        <v>0.25280242665576225</v>
      </c>
      <c r="G13" s="28">
        <f>IF(((H13*(H13+1))/2)-((E13*(E13+1))/2)&gt;0,((H13*(H13+1))/2)-((E13*(E13+1))/2),0)</f>
        <v>582.10954190837219</v>
      </c>
      <c r="H13" s="28">
        <f>$H$6*0.927</f>
        <v>2302.2528024266558</v>
      </c>
      <c r="I13" s="29" t="s">
        <v>22</v>
      </c>
      <c r="K13" s="39" t="str">
        <f t="shared" si="1"/>
        <v>-</v>
      </c>
      <c r="L13" s="28">
        <f>ROUND(L6*0.927,0)</f>
        <v>2302</v>
      </c>
      <c r="M13" s="45">
        <f>IF(((L13*(L13+1))/2)-((E13*(E13+1))/2)&gt;0,((L13*(L13+1))/2)-((E13*(E13+1))/2),0)</f>
        <v>0</v>
      </c>
    </row>
    <row r="14" spans="1:13" x14ac:dyDescent="0.3">
      <c r="A14" s="24" t="s">
        <v>12</v>
      </c>
      <c r="B14" s="25" t="str">
        <f>IFERROR(LEFT(RIGHT(MainPage!$Q$4,LEN(MainPage!$Q$4)-FIND(A14,MainPage!$Q$4)-LEN(A14)-1),FIND(")",RIGHT(MainPage!$Q$4,LEN(MainPage!$Q$4)-FIND(A14,MainPage!$Q$4)-LEN(A14)-1))-1),0)</f>
        <v>1</v>
      </c>
      <c r="C14" s="11"/>
      <c r="D14" s="24" t="s">
        <v>12</v>
      </c>
      <c r="E14" s="28">
        <f>MainPage!D17</f>
        <v>0</v>
      </c>
      <c r="F14" s="28">
        <f>IF(H14-E14&gt;0,H14-E14,0)</f>
        <v>0</v>
      </c>
      <c r="G14" s="28">
        <f>IF(((H14*(H14+1))/2)-((E14*(E14+1))/2)&gt;0,((H14*(H14+1))/2)-((E14*(E14+1))/2),0)</f>
        <v>0</v>
      </c>
      <c r="H14" s="28"/>
      <c r="I14" s="29" t="s">
        <v>22</v>
      </c>
      <c r="K14" s="39" t="str">
        <f t="shared" si="1"/>
        <v>-</v>
      </c>
      <c r="L14" s="28"/>
      <c r="M14" s="45">
        <f>IF(((L14*(L14+1))/2)-((E14*(E14+1))/2)&gt;0,((L14*(L14+1))/2)-((E14*(E14+1))/2),0)</f>
        <v>0</v>
      </c>
    </row>
    <row r="15" spans="1:13" x14ac:dyDescent="0.3">
      <c r="A15" s="26" t="s">
        <v>13</v>
      </c>
      <c r="B15" s="25" t="str">
        <f>IFERROR(LEFT(RIGHT(MainPage!$Q$4,LEN(MainPage!$Q$4)-FIND(A15,MainPage!$Q$4)-LEN(A15)-1),FIND(")",RIGHT(MainPage!$Q$4,LEN(MainPage!$Q$4)-FIND(A15,MainPage!$Q$4)-LEN(A15)-1))-1),0)</f>
        <v>1,858</v>
      </c>
      <c r="C15" s="11"/>
      <c r="D15" s="26" t="s">
        <v>13</v>
      </c>
      <c r="E15" s="28">
        <f>MainPage!D18</f>
        <v>1952</v>
      </c>
      <c r="F15" s="28">
        <f>IF(H15-E15&gt;0,H15-E15,0)</f>
        <v>0.20391546480686884</v>
      </c>
      <c r="G15" s="28">
        <f>IF(ROUND(((H15^2.5)+(H15+1)^2.5)/5-((E15^2.5)+(E15+1)^2.5)/5,0)&gt;0,ROUND(((H15^2.5)+(H15+1)^2.5)/5-((E15^2.5)+(E15+1)^2.5)/5,0),0)</f>
        <v>17594</v>
      </c>
      <c r="H15" s="28">
        <f>MIN(H6,1.21*LN(3.73*(H6)^2)^(0.4)*H6^0.8)</f>
        <v>1952.2039154648069</v>
      </c>
      <c r="I15" s="29" t="s">
        <v>23</v>
      </c>
      <c r="K15" s="39" t="str">
        <f t="shared" si="1"/>
        <v>-</v>
      </c>
      <c r="L15" s="28">
        <f>ROUND(MIN(L6,1.21*LN(3.73*(L6)^2)^(0.4)*L6^0.8),0)</f>
        <v>1952</v>
      </c>
      <c r="M15" s="45">
        <f>IF(ROUND(((L15^2.5)+(L15+1)^2.5)/5-((E15^2.5)+(E15+1)^2.5)/5,0)&gt;0,ROUND(((L15^2.5)+(L15+1)^2.5)/5-((E15^2.5)+(E15+1)^2.5)/5,0),0)</f>
        <v>0</v>
      </c>
    </row>
    <row r="16" spans="1:13" ht="15" thickBot="1" x14ac:dyDescent="0.35">
      <c r="A16" s="36" t="s">
        <v>14</v>
      </c>
      <c r="B16" s="27" t="str">
        <f>IFERROR(LEFT(RIGHT(MainPage!$Q$4,LEN(MainPage!$Q$4)-FIND(A16,MainPage!$Q$4)-LEN(A16)-1),FIND(")",RIGHT(MainPage!$Q$4,LEN(MainPage!$Q$4)-FIND(A16,MainPage!$Q$4)-LEN(A16)-1))-1),0)</f>
        <v>1</v>
      </c>
      <c r="C16" s="11"/>
      <c r="D16" s="30" t="s">
        <v>14</v>
      </c>
      <c r="E16" s="28">
        <f>MainPage!D19</f>
        <v>0</v>
      </c>
      <c r="F16" s="28">
        <f>IF(H16-E16&gt;0,H16-E16,0)</f>
        <v>0</v>
      </c>
      <c r="G16" s="28">
        <f>IF(((H16*(H16+1))/2)-((E16*(E16+1))/2)&gt;0,((H16*(H16+1))/2)-((E16*(E16+1))/2),0)</f>
        <v>0</v>
      </c>
      <c r="H16" s="28"/>
      <c r="I16" s="29" t="s">
        <v>23</v>
      </c>
      <c r="K16" s="39" t="str">
        <f t="shared" si="1"/>
        <v>-</v>
      </c>
      <c r="L16" s="28"/>
      <c r="M16" s="45">
        <f>IF(ROUND(((L16^2.5)+(L16+1)^2.5)/5-((E16^2.5)+(E16+1)^2.5)/5,0)&gt;0,ROUND(((L16^2.5)+(L16+1)^2.5)/5-((E16^2.5)+(E16+1)^2.5)/5,0),0)</f>
        <v>0</v>
      </c>
    </row>
    <row r="17" spans="1:13" ht="15" thickBot="1" x14ac:dyDescent="0.35">
      <c r="A17" s="11"/>
      <c r="B17" s="11"/>
      <c r="C17" s="11"/>
      <c r="D17" s="31" t="s">
        <v>15</v>
      </c>
      <c r="E17" s="40" t="s">
        <v>24</v>
      </c>
      <c r="F17" s="41" t="s">
        <v>25</v>
      </c>
      <c r="G17" s="41" t="s">
        <v>26</v>
      </c>
      <c r="H17" s="41" t="s">
        <v>27</v>
      </c>
      <c r="I17" s="42" t="s">
        <v>31</v>
      </c>
      <c r="J17" s="43"/>
      <c r="K17" s="44" t="s">
        <v>18</v>
      </c>
      <c r="L17" s="42" t="s">
        <v>17</v>
      </c>
      <c r="M17" s="46" t="s">
        <v>34</v>
      </c>
    </row>
    <row r="18" spans="1:13" ht="15" thickBot="1" x14ac:dyDescent="0.35">
      <c r="A18" s="11"/>
      <c r="B18" s="11"/>
      <c r="C18" s="11"/>
      <c r="D18" s="11"/>
    </row>
    <row r="19" spans="1:13" x14ac:dyDescent="0.3">
      <c r="A19" s="11"/>
      <c r="B19" s="11"/>
      <c r="C19" s="11"/>
      <c r="D19" s="54" t="s">
        <v>29</v>
      </c>
      <c r="E19" s="56"/>
      <c r="F19" s="56"/>
      <c r="G19" s="56"/>
      <c r="H19" s="56"/>
      <c r="I19" s="55"/>
    </row>
    <row r="20" spans="1:13" x14ac:dyDescent="0.3">
      <c r="A20" s="11"/>
      <c r="B20" s="11"/>
      <c r="C20" s="11"/>
      <c r="D20" s="24" t="s">
        <v>20</v>
      </c>
      <c r="E20" s="28">
        <f>MainPage!D5</f>
        <v>26948</v>
      </c>
      <c r="F20" s="28">
        <f>E20-G20</f>
        <v>26948</v>
      </c>
      <c r="G20" s="28">
        <f>SUM(G21:G34)</f>
        <v>0</v>
      </c>
      <c r="H20" s="28"/>
      <c r="I20" s="29"/>
    </row>
    <row r="21" spans="1:13" x14ac:dyDescent="0.3">
      <c r="A21" s="11"/>
      <c r="B21" s="11"/>
      <c r="C21" s="11"/>
      <c r="D21" s="26" t="s">
        <v>1</v>
      </c>
      <c r="E21" s="28">
        <f>MainPage!D6</f>
        <v>2483</v>
      </c>
      <c r="F21" s="28">
        <f>IF(H21-E21&gt;0,H21-E21,0)</f>
        <v>0</v>
      </c>
      <c r="G21" s="28">
        <f>IF(((H21*(H21+1))/2)-((E21*(E21+1))/2)&gt;0,((H21*(H21+1))/2)-((E21*(E21+1))/2),0)</f>
        <v>0</v>
      </c>
      <c r="H21" s="28">
        <f>ROUND(H24,0)</f>
        <v>0</v>
      </c>
      <c r="I21" s="29" t="s">
        <v>22</v>
      </c>
    </row>
    <row r="22" spans="1:13" x14ac:dyDescent="0.3">
      <c r="A22" s="11"/>
      <c r="B22" s="11"/>
      <c r="C22" s="11"/>
      <c r="D22" s="24" t="s">
        <v>2</v>
      </c>
      <c r="E22" s="28">
        <f>MainPage!D7</f>
        <v>2393</v>
      </c>
      <c r="F22" s="28">
        <f t="shared" ref="F22:F28" si="2">IF(H22-E22&gt;0,H22-E22,0)</f>
        <v>0</v>
      </c>
      <c r="G22" s="28">
        <f>IF(((H22*(H22+1))/2)-((E22*(E22+1))/2)&gt;0,((H22*(H22+1))/2)-((E22*(E22+1))/2),0)</f>
        <v>0</v>
      </c>
      <c r="H22" s="28">
        <f>ROUND(IF(H24&lt;1000,H24,H24-90),0)</f>
        <v>0</v>
      </c>
      <c r="I22" s="29" t="s">
        <v>22</v>
      </c>
    </row>
    <row r="23" spans="1:13" x14ac:dyDescent="0.3">
      <c r="A23" s="11"/>
      <c r="B23" s="11"/>
      <c r="C23" s="11"/>
      <c r="D23" s="26" t="s">
        <v>3</v>
      </c>
      <c r="E23" s="28">
        <f>MainPage!D8</f>
        <v>0</v>
      </c>
      <c r="F23" s="28">
        <f t="shared" si="2"/>
        <v>0</v>
      </c>
      <c r="G23" s="28">
        <f>IF(ROUND(((H23^2.5)+(H23+1)^2.5)/5-((E23^2.5)+(E23+1)^2.5)/5,0)&gt;0,ROUND(((H23^2.5)+(H23+1)^2.5)/5-((E23^2.5)+(E23+1)^2.5)/5,0),0)</f>
        <v>0</v>
      </c>
      <c r="H23" s="28"/>
      <c r="I23" s="29" t="s">
        <v>23</v>
      </c>
    </row>
    <row r="24" spans="1:13" x14ac:dyDescent="0.3">
      <c r="A24" s="11"/>
      <c r="B24" s="11"/>
      <c r="C24" s="11"/>
      <c r="D24" s="24" t="s">
        <v>4</v>
      </c>
      <c r="E24" s="28">
        <f>MainPage!D9</f>
        <v>2483</v>
      </c>
      <c r="F24" s="28">
        <f t="shared" si="2"/>
        <v>0</v>
      </c>
      <c r="G24" s="28">
        <f>IF(((H24*(H24+1))/2)-((E24*(E24+1))/2)&gt;0,((H24*(H24+1))/2)-((E24*(E24+1))/2),0)</f>
        <v>0</v>
      </c>
      <c r="H24" s="28">
        <f>J31</f>
        <v>0</v>
      </c>
      <c r="I24" s="29" t="s">
        <v>22</v>
      </c>
    </row>
    <row r="25" spans="1:13" x14ac:dyDescent="0.3">
      <c r="A25" s="11"/>
      <c r="B25" s="11"/>
      <c r="C25" s="11"/>
      <c r="D25" s="26" t="s">
        <v>5</v>
      </c>
      <c r="E25" s="28">
        <f>MainPage!D10</f>
        <v>0</v>
      </c>
      <c r="F25" s="28">
        <f t="shared" si="2"/>
        <v>0</v>
      </c>
      <c r="G25" s="28">
        <f>IF(ROUND(((H25^2.5)+(H25+1)^2.5)/5-((E25^2.5)+(E25+1)^2.5)/5,0)&gt;0,ROUND(((H25^2.5)+(H25+1)^2.5)/5-((E25^2.5)+(E25+1)^2.5)/5,0),0)</f>
        <v>0</v>
      </c>
      <c r="H25" s="28"/>
      <c r="I25" s="29" t="s">
        <v>23</v>
      </c>
    </row>
    <row r="26" spans="1:13" x14ac:dyDescent="0.3">
      <c r="A26" s="11"/>
      <c r="B26" s="11"/>
      <c r="C26" s="11"/>
      <c r="D26" s="24" t="s">
        <v>6</v>
      </c>
      <c r="E26" s="28">
        <f>MainPage!D11</f>
        <v>520</v>
      </c>
      <c r="F26" s="28">
        <f t="shared" si="2"/>
        <v>0</v>
      </c>
      <c r="G26" s="28">
        <f>IF(((H26*(H26+1))/2)-((E26*(E26+1))/2)&gt;0,((H26*(H26+1))/2)-((E26*(E26+1))/2),0)</f>
        <v>0</v>
      </c>
      <c r="H26" s="28"/>
      <c r="I26" s="29" t="s">
        <v>23</v>
      </c>
    </row>
    <row r="27" spans="1:13" x14ac:dyDescent="0.3">
      <c r="A27" s="11"/>
      <c r="B27" s="11"/>
      <c r="C27" s="11"/>
      <c r="D27" s="26" t="s">
        <v>7</v>
      </c>
      <c r="E27" s="28">
        <f>MainPage!D12</f>
        <v>0</v>
      </c>
      <c r="F27" s="28">
        <f t="shared" si="2"/>
        <v>0</v>
      </c>
      <c r="G27" s="28">
        <f>IF(((H27*(H27+1))/2)-((E27*(E27+1))/2)&gt;0,((H27*(H27+1))/2)-((E27*(E27+1))/2),0)</f>
        <v>0</v>
      </c>
      <c r="H27" s="28">
        <f>ROUND($F$15*0.927,0)</f>
        <v>0</v>
      </c>
      <c r="I27" s="29" t="s">
        <v>22</v>
      </c>
    </row>
    <row r="28" spans="1:13" x14ac:dyDescent="0.3">
      <c r="A28" s="11"/>
      <c r="B28" s="11"/>
      <c r="C28" s="11"/>
      <c r="D28" s="24" t="s">
        <v>8</v>
      </c>
      <c r="E28" s="28">
        <f>MainPage!D13</f>
        <v>2302</v>
      </c>
      <c r="F28" s="28">
        <f t="shared" si="2"/>
        <v>0</v>
      </c>
      <c r="G28" s="28">
        <f>IF(((H28*(H28+1))/2)-((E28*(E28+1))/2)&gt;0,((H28*(H28+1))/2)-((E28*(E28+1))/2),0)</f>
        <v>0</v>
      </c>
      <c r="H28" s="28">
        <f>ROUND($F$15*0.927,0)</f>
        <v>0</v>
      </c>
      <c r="I28" s="29" t="s">
        <v>22</v>
      </c>
    </row>
    <row r="29" spans="1:13" x14ac:dyDescent="0.3">
      <c r="A29" s="11"/>
      <c r="B29" s="11"/>
      <c r="C29" s="11"/>
      <c r="D29" s="26" t="s">
        <v>9</v>
      </c>
      <c r="E29" s="28">
        <f>MainPage!D14</f>
        <v>2302</v>
      </c>
      <c r="F29" s="28">
        <f>IF(H29-E29&gt;0,H29-E29,0)</f>
        <v>0</v>
      </c>
      <c r="G29" s="28">
        <f>IF(((H29*(H29+1))/2)-((E29*(E29+1))/2)&gt;0,((H29*(H29+1))/2)-((E29*(E29+1))/2),0)</f>
        <v>0</v>
      </c>
      <c r="H29" s="28">
        <f>ROUND($F$15*0.927,0)</f>
        <v>0</v>
      </c>
      <c r="I29" s="29" t="s">
        <v>22</v>
      </c>
    </row>
    <row r="30" spans="1:13" x14ac:dyDescent="0.3">
      <c r="A30" s="11"/>
      <c r="B30" s="11"/>
      <c r="C30" s="11"/>
      <c r="D30" s="24" t="s">
        <v>10</v>
      </c>
      <c r="E30" s="28">
        <f>MainPage!D15</f>
        <v>6230016</v>
      </c>
      <c r="F30" s="28">
        <f>IF(H30-E29&gt;0,H30-E29,0)</f>
        <v>0</v>
      </c>
      <c r="G30" s="28">
        <f>IF(H30-E29&gt;0,H30-E29,0)</f>
        <v>0</v>
      </c>
      <c r="H30" s="28">
        <f>ROUND(IF(H24&lt;100,(H24+1)^2,(H24+13)^2),0)</f>
        <v>1</v>
      </c>
      <c r="I30" s="29">
        <v>1</v>
      </c>
    </row>
    <row r="31" spans="1:13" x14ac:dyDescent="0.3">
      <c r="A31" s="11"/>
      <c r="B31" s="11"/>
      <c r="C31" s="11"/>
      <c r="D31" s="26" t="s">
        <v>11</v>
      </c>
      <c r="E31" s="28">
        <f>MainPage!D16</f>
        <v>2302</v>
      </c>
      <c r="F31" s="28">
        <f>IF(H31-E31&gt;0,H31-E31,0)</f>
        <v>0</v>
      </c>
      <c r="G31" s="28">
        <f>IF(((H31*(H31+1))/2)-((E31*(E31+1))/2)&gt;0,((H31*(H31+1))/2)-((E31*(E31+1))/2),0)</f>
        <v>0</v>
      </c>
      <c r="H31" s="28">
        <f>ROUND($F$15*0.927,0)</f>
        <v>0</v>
      </c>
      <c r="I31" s="29" t="s">
        <v>22</v>
      </c>
    </row>
    <row r="32" spans="1:13" x14ac:dyDescent="0.3">
      <c r="A32" s="11"/>
      <c r="B32" s="11"/>
      <c r="C32" s="11"/>
      <c r="D32" s="24" t="s">
        <v>12</v>
      </c>
      <c r="E32" s="28">
        <f>MainPage!D17</f>
        <v>0</v>
      </c>
      <c r="F32" s="28">
        <f>IF(H32-E32&gt;0,H32-E32,0)</f>
        <v>0</v>
      </c>
      <c r="G32" s="28">
        <f>IF(((H32*(H32+1))/2)-((E32*(E32+1))/2)&gt;0,((H32*(H32+1))/2)-((E32*(E32+1))/2),0)</f>
        <v>0</v>
      </c>
      <c r="H32" s="28">
        <f>ROUND($F$15*0.927,0)</f>
        <v>0</v>
      </c>
      <c r="I32" s="29" t="s">
        <v>22</v>
      </c>
    </row>
    <row r="33" spans="1:9" x14ac:dyDescent="0.3">
      <c r="A33" s="11"/>
      <c r="B33" s="11"/>
      <c r="C33" s="11"/>
      <c r="D33" s="26" t="s">
        <v>13</v>
      </c>
      <c r="E33" s="28">
        <f>MainPage!D18</f>
        <v>1952</v>
      </c>
      <c r="F33" s="28">
        <f>IF(H33-E33&gt;0,H33-E33,0)</f>
        <v>0</v>
      </c>
      <c r="G33" s="28">
        <f>IF(((H33*(H33+1))/2)-((E33*(E33+1))/2)&gt;0,((H33*(H33+1))/2)-((E33*(E33+1))/2),0)</f>
        <v>0</v>
      </c>
      <c r="H33" s="28"/>
      <c r="I33" s="29" t="s">
        <v>23</v>
      </c>
    </row>
    <row r="34" spans="1:9" x14ac:dyDescent="0.3">
      <c r="D34" s="30" t="s">
        <v>14</v>
      </c>
      <c r="E34" s="28">
        <f>MainPage!D19</f>
        <v>0</v>
      </c>
      <c r="F34" s="28">
        <f>IF(H34-E34&gt;0,H34-E34,0)</f>
        <v>0</v>
      </c>
      <c r="G34" s="28">
        <f>IF(((H34*(H34+1))/2)-((E34*(E34+1))/2)&gt;0,((H34*(H34+1))/2)-((E34*(E34+1))/2),0)</f>
        <v>0</v>
      </c>
      <c r="H34" s="28"/>
      <c r="I34" s="29" t="s">
        <v>23</v>
      </c>
    </row>
    <row r="35" spans="1:9" ht="15" thickBot="1" x14ac:dyDescent="0.35">
      <c r="D35" s="31" t="s">
        <v>15</v>
      </c>
      <c r="E35" s="32" t="s">
        <v>24</v>
      </c>
      <c r="F35" s="33" t="s">
        <v>25</v>
      </c>
      <c r="G35" s="33" t="s">
        <v>26</v>
      </c>
      <c r="H35" s="33" t="s">
        <v>27</v>
      </c>
      <c r="I35" s="34"/>
    </row>
    <row r="36" spans="1:9" ht="15" thickBot="1" x14ac:dyDescent="0.35"/>
    <row r="37" spans="1:9" x14ac:dyDescent="0.3">
      <c r="D37" s="54" t="s">
        <v>30</v>
      </c>
      <c r="E37" s="56"/>
      <c r="F37" s="56"/>
      <c r="G37" s="56"/>
      <c r="H37" s="56"/>
      <c r="I37" s="55"/>
    </row>
    <row r="38" spans="1:9" x14ac:dyDescent="0.3">
      <c r="D38" s="24" t="s">
        <v>20</v>
      </c>
      <c r="E38" s="28">
        <f>MainPage!D5</f>
        <v>26948</v>
      </c>
      <c r="F38" s="28">
        <f>E38-G38</f>
        <v>26948</v>
      </c>
      <c r="G38" s="28">
        <f>SUM(G39:G52)</f>
        <v>0</v>
      </c>
      <c r="H38" s="28"/>
      <c r="I38" s="29"/>
    </row>
    <row r="39" spans="1:9" x14ac:dyDescent="0.3">
      <c r="D39" s="26" t="s">
        <v>1</v>
      </c>
      <c r="E39" s="28">
        <f>MainPage!D6</f>
        <v>2483</v>
      </c>
      <c r="F39" s="28">
        <f>IF(H39-E39&gt;0,H39-E39,0)</f>
        <v>0</v>
      </c>
      <c r="G39" s="28">
        <f>IF(((H39*(H39+1))/2)-((E39*(E39+1))/2)&gt;0,((H39*(H39+1))/2)-((E39*(E39+1))/2),0)</f>
        <v>0</v>
      </c>
      <c r="H39" s="28">
        <f>ROUND(H42,0)</f>
        <v>0</v>
      </c>
      <c r="I39" s="29" t="s">
        <v>22</v>
      </c>
    </row>
    <row r="40" spans="1:9" x14ac:dyDescent="0.3">
      <c r="D40" s="24" t="s">
        <v>2</v>
      </c>
      <c r="E40" s="28">
        <f>MainPage!D7</f>
        <v>2393</v>
      </c>
      <c r="F40" s="28">
        <f t="shared" ref="F40:F46" si="3">IF(H40-E40&gt;0,H40-E40,0)</f>
        <v>0</v>
      </c>
      <c r="G40" s="28">
        <f>IF(((H40*(H40+1))/2)-((E40*(E40+1))/2)&gt;0,((H40*(H40+1))/2)-((E40*(E40+1))/2),0)</f>
        <v>0</v>
      </c>
      <c r="H40" s="28">
        <f>ROUND(IF(H42&lt;1000,H42,H42-90),0)</f>
        <v>0</v>
      </c>
      <c r="I40" s="29" t="s">
        <v>22</v>
      </c>
    </row>
    <row r="41" spans="1:9" x14ac:dyDescent="0.3">
      <c r="D41" s="26" t="s">
        <v>3</v>
      </c>
      <c r="E41" s="28">
        <f>MainPage!D8</f>
        <v>0</v>
      </c>
      <c r="F41" s="28">
        <f t="shared" si="3"/>
        <v>0</v>
      </c>
      <c r="G41" s="28">
        <f>IF(ROUND(((H41^2.5)+(H41+1)^2.5)/5-((E41^2.5)+(E41+1)^2.5)/5,0)&gt;0,ROUND(((H41^2.5)+(H41+1)^2.5)/5-((E41^2.5)+(E41+1)^2.5)/5,0),0)</f>
        <v>0</v>
      </c>
      <c r="H41" s="28"/>
      <c r="I41" s="29" t="s">
        <v>23</v>
      </c>
    </row>
    <row r="42" spans="1:9" x14ac:dyDescent="0.3">
      <c r="D42" s="24" t="s">
        <v>4</v>
      </c>
      <c r="E42" s="28">
        <f>MainPage!D9</f>
        <v>2483</v>
      </c>
      <c r="F42" s="28">
        <f t="shared" si="3"/>
        <v>0</v>
      </c>
      <c r="G42" s="28">
        <f>IF(((H42*(H42+1))/2)-((E42*(E42+1))/2)&gt;0,((H42*(H42+1))/2)-((E42*(E42+1))/2),0)</f>
        <v>0</v>
      </c>
      <c r="H42" s="28">
        <f>J49</f>
        <v>0</v>
      </c>
      <c r="I42" s="29" t="s">
        <v>22</v>
      </c>
    </row>
    <row r="43" spans="1:9" x14ac:dyDescent="0.3">
      <c r="D43" s="26" t="s">
        <v>5</v>
      </c>
      <c r="E43" s="28">
        <f>MainPage!D10</f>
        <v>0</v>
      </c>
      <c r="F43" s="28">
        <f t="shared" si="3"/>
        <v>0</v>
      </c>
      <c r="G43" s="28">
        <f>IF(ROUND(((H43^2.5)+(H43+1)^2.5)/5-((E43^2.5)+(E43+1)^2.5)/5,0)&gt;0,ROUND(((H43^2.5)+(H43+1)^2.5)/5-((E43^2.5)+(E43+1)^2.5)/5,0),0)</f>
        <v>0</v>
      </c>
      <c r="H43" s="28"/>
      <c r="I43" s="29" t="s">
        <v>23</v>
      </c>
    </row>
    <row r="44" spans="1:9" x14ac:dyDescent="0.3">
      <c r="D44" s="24" t="s">
        <v>6</v>
      </c>
      <c r="E44" s="28">
        <f>MainPage!D11</f>
        <v>520</v>
      </c>
      <c r="F44" s="28">
        <f t="shared" si="3"/>
        <v>0</v>
      </c>
      <c r="G44" s="28">
        <f>IF(((H44*(H44+1))/2)-((E44*(E44+1))/2)&gt;0,((H44*(H44+1))/2)-((E44*(E44+1))/2),0)</f>
        <v>0</v>
      </c>
      <c r="H44" s="28"/>
      <c r="I44" s="29" t="s">
        <v>23</v>
      </c>
    </row>
    <row r="45" spans="1:9" x14ac:dyDescent="0.3">
      <c r="D45" s="26" t="s">
        <v>7</v>
      </c>
      <c r="E45" s="28">
        <f>MainPage!D12</f>
        <v>0</v>
      </c>
      <c r="F45" s="28">
        <f t="shared" si="3"/>
        <v>0</v>
      </c>
      <c r="G45" s="28">
        <f>IF(((H45*(H45+1))/2)-((E45*(E45+1))/2)&gt;0,((H45*(H45+1))/2)-((E45*(E45+1))/2),0)</f>
        <v>0</v>
      </c>
      <c r="H45" s="28">
        <f>ROUND($F$15*0.927,0)</f>
        <v>0</v>
      </c>
      <c r="I45" s="29" t="s">
        <v>22</v>
      </c>
    </row>
    <row r="46" spans="1:9" x14ac:dyDescent="0.3">
      <c r="D46" s="24" t="s">
        <v>8</v>
      </c>
      <c r="E46" s="28">
        <f>MainPage!D13</f>
        <v>2302</v>
      </c>
      <c r="F46" s="28">
        <f t="shared" si="3"/>
        <v>0</v>
      </c>
      <c r="G46" s="28">
        <f>IF(((H46*(H46+1))/2)-((E46*(E46+1))/2)&gt;0,((H46*(H46+1))/2)-((E46*(E46+1))/2),0)</f>
        <v>0</v>
      </c>
      <c r="H46" s="28">
        <f>ROUND($F$15*0.927,0)</f>
        <v>0</v>
      </c>
      <c r="I46" s="29" t="s">
        <v>22</v>
      </c>
    </row>
    <row r="47" spans="1:9" x14ac:dyDescent="0.3">
      <c r="D47" s="26" t="s">
        <v>9</v>
      </c>
      <c r="E47" s="28">
        <f>MainPage!D14</f>
        <v>2302</v>
      </c>
      <c r="F47" s="28">
        <f>IF(H47-E47&gt;0,H47-E47,0)</f>
        <v>0</v>
      </c>
      <c r="G47" s="28">
        <f>IF(((H47*(H47+1))/2)-((E47*(E47+1))/2)&gt;0,((H47*(H47+1))/2)-((E47*(E47+1))/2),0)</f>
        <v>0</v>
      </c>
      <c r="H47" s="28">
        <f>ROUND($F$15*0.927,0)</f>
        <v>0</v>
      </c>
      <c r="I47" s="29" t="s">
        <v>22</v>
      </c>
    </row>
    <row r="48" spans="1:9" x14ac:dyDescent="0.3">
      <c r="D48" s="24" t="s">
        <v>10</v>
      </c>
      <c r="E48" s="28">
        <f>MainPage!D15</f>
        <v>6230016</v>
      </c>
      <c r="F48" s="28">
        <f>IF(H48-E47&gt;0,H48-E47,0)</f>
        <v>0</v>
      </c>
      <c r="G48" s="28">
        <f>IF(H48-E47&gt;0,H48-E47,0)</f>
        <v>0</v>
      </c>
      <c r="H48" s="28">
        <f>ROUND(IF(H42&lt;100,(H42+1)^2,(H42+13)^2),0)</f>
        <v>1</v>
      </c>
      <c r="I48" s="29">
        <v>1</v>
      </c>
    </row>
    <row r="49" spans="4:9" x14ac:dyDescent="0.3">
      <c r="D49" s="26" t="s">
        <v>11</v>
      </c>
      <c r="E49" s="28">
        <f>MainPage!D16</f>
        <v>2302</v>
      </c>
      <c r="F49" s="28">
        <f>IF(H49-E49&gt;0,H49-E49,0)</f>
        <v>0</v>
      </c>
      <c r="G49" s="28">
        <f>IF(((H49*(H49+1))/2)-((E49*(E49+1))/2)&gt;0,((H49*(H49+1))/2)-((E49*(E49+1))/2),0)</f>
        <v>0</v>
      </c>
      <c r="H49" s="28">
        <f>ROUND($F$15*0.927,0)</f>
        <v>0</v>
      </c>
      <c r="I49" s="29" t="s">
        <v>22</v>
      </c>
    </row>
    <row r="50" spans="4:9" x14ac:dyDescent="0.3">
      <c r="D50" s="24" t="s">
        <v>12</v>
      </c>
      <c r="E50" s="28">
        <f>MainPage!D17</f>
        <v>0</v>
      </c>
      <c r="F50" s="28">
        <f>IF(H50-E50&gt;0,H50-E50,0)</f>
        <v>0</v>
      </c>
      <c r="G50" s="28">
        <f>IF(((H50*(H50+1))/2)-((E50*(E50+1))/2)&gt;0,((H50*(H50+1))/2)-((E50*(E50+1))/2),0)</f>
        <v>0</v>
      </c>
      <c r="H50" s="28">
        <f>ROUND($F$15*0.927,0)</f>
        <v>0</v>
      </c>
      <c r="I50" s="29" t="s">
        <v>22</v>
      </c>
    </row>
    <row r="51" spans="4:9" x14ac:dyDescent="0.3">
      <c r="D51" s="26" t="s">
        <v>13</v>
      </c>
      <c r="E51" s="28">
        <f>MainPage!D18</f>
        <v>1952</v>
      </c>
      <c r="F51" s="28">
        <f>IF(H51-E51&gt;0,H51-E51,0)</f>
        <v>0</v>
      </c>
      <c r="G51" s="28">
        <f>IF(((H51*(H51+1))/2)-((E51*(E51+1))/2)&gt;0,((H51*(H51+1))/2)-((E51*(E51+1))/2),0)</f>
        <v>0</v>
      </c>
      <c r="H51" s="28"/>
      <c r="I51" s="29" t="s">
        <v>23</v>
      </c>
    </row>
    <row r="52" spans="4:9" x14ac:dyDescent="0.3">
      <c r="D52" s="30" t="s">
        <v>14</v>
      </c>
      <c r="E52" s="28">
        <f>MainPage!D19</f>
        <v>0</v>
      </c>
      <c r="F52" s="28">
        <f>IF(H52-E52&gt;0,H52-E52,0)</f>
        <v>0</v>
      </c>
      <c r="G52" s="28">
        <f>IF(((H52*(H52+1))/2)-((E52*(E52+1))/2)&gt;0,((H52*(H52+1))/2)-((E52*(E52+1))/2),0)</f>
        <v>0</v>
      </c>
      <c r="H52" s="28"/>
      <c r="I52" s="29" t="s">
        <v>23</v>
      </c>
    </row>
    <row r="53" spans="4:9" ht="15" thickBot="1" x14ac:dyDescent="0.35">
      <c r="D53" s="31" t="s">
        <v>15</v>
      </c>
      <c r="E53" s="32" t="s">
        <v>24</v>
      </c>
      <c r="F53" s="33" t="s">
        <v>25</v>
      </c>
      <c r="G53" s="33" t="s">
        <v>26</v>
      </c>
      <c r="H53" s="33" t="s">
        <v>27</v>
      </c>
      <c r="I53" s="34"/>
    </row>
  </sheetData>
  <mergeCells count="5">
    <mergeCell ref="A1:B1"/>
    <mergeCell ref="D1:I1"/>
    <mergeCell ref="D19:I19"/>
    <mergeCell ref="D37:I37"/>
    <mergeCell ref="K1:L1"/>
  </mergeCells>
  <pageMargins left="0.7" right="0.7" top="0.75" bottom="0.75" header="0.3" footer="0.3"/>
  <ignoredErrors>
    <ignoredError sqref="F12:H12 M5 M1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MainPage</vt:lpstr>
      <vt:lpstr>Backdoor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Nevarthanz</dc:creator>
  <cp:lastModifiedBy>Joel Silva</cp:lastModifiedBy>
  <dcterms:created xsi:type="dcterms:W3CDTF">2006-09-16T00:00:00Z</dcterms:created>
  <dcterms:modified xsi:type="dcterms:W3CDTF">2016-02-02T22:04:41Z</dcterms:modified>
</cp:coreProperties>
</file>